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нные" sheetId="1" state="visible" r:id="rId1"/>
    <sheet name="Сводк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ummaryTable" displayName="SummaryTable" ref="A1:I5" headerRowCount="1">
  <autoFilter ref="A1:I5"/>
  <tableColumns count="9">
    <tableColumn id="1" name="Модель"/>
    <tableColumn id="2" name="Средний балл"/>
    <tableColumn id="3" name="Средняя корректность"/>
    <tableColumn id="4" name="Средняя полнота"/>
    <tableColumn id="5" name="Средняя инструкция"/>
    <tableColumn id="6" name="Средняя полезность"/>
    <tableColumn id="7" name="Средняя задержка"/>
    <tableColumn id="8" name="Средняя длина ответа"/>
    <tableColumn id="9" name="Количество ошибок"/>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sheetData>
    <row r="1">
      <c r="A1" s="1" t="inlineStr">
        <is>
          <t>Модель</t>
        </is>
      </c>
      <c r="B1" s="1" t="inlineStr">
        <is>
          <t>Номер задачи</t>
        </is>
      </c>
      <c r="C1" s="1" t="inlineStr">
        <is>
          <t>Тип задачи</t>
        </is>
      </c>
      <c r="D1" s="1" t="inlineStr">
        <is>
          <t>Задержка</t>
        </is>
      </c>
      <c r="E1" s="1" t="inlineStr">
        <is>
          <t>Ответ</t>
        </is>
      </c>
      <c r="F1" s="1" t="inlineStr">
        <is>
          <t>Ошибка</t>
        </is>
      </c>
      <c r="G1" s="1" t="inlineStr">
        <is>
          <t>Длина ответа (символы)</t>
        </is>
      </c>
      <c r="H1" s="1" t="inlineStr">
        <is>
          <t>Длина ответа (слова)</t>
        </is>
      </c>
      <c r="I1" s="1" t="inlineStr">
        <is>
          <t>Корректность</t>
        </is>
      </c>
      <c r="J1" s="1" t="inlineStr">
        <is>
          <t>Полнота</t>
        </is>
      </c>
      <c r="K1" s="1" t="inlineStr">
        <is>
          <t>Инструкция</t>
        </is>
      </c>
      <c r="L1" s="1" t="inlineStr">
        <is>
          <t>Полезность</t>
        </is>
      </c>
      <c r="M1" s="1" t="inlineStr">
        <is>
          <t>Общий балл</t>
        </is>
      </c>
    </row>
    <row r="2">
      <c r="A2" t="inlineStr">
        <is>
          <t>DeepSeek-R1-Distill-Qwen-14B-GGUF</t>
        </is>
      </c>
      <c r="B2" t="n">
        <v>1</v>
      </c>
      <c r="C2" t="inlineStr">
        <is>
          <t>Объяснение</t>
        </is>
      </c>
      <c r="D2" t="n">
        <v>14.47505339999998</v>
      </c>
      <c r="E2" t="inlineStr">
        <is>
          <t xml:space="preserve">
Хеширование преобразует данные в фиксированную строку (хэш), который не может быть восстановлен обратно. Основное назначение — проверка целостности и аутентификация.
Симметричное шифрование использует ключ для преобразования данных и их복нения, обеспечивая конфиденциальность.</t>
        </is>
      </c>
      <c r="F2" t="n">
        <v/>
      </c>
      <c r="G2" t="n">
        <v>278</v>
      </c>
      <c r="H2" t="n">
        <v>31</v>
      </c>
      <c r="M2">
        <f>SUM(I2:L2)</f>
        <v/>
      </c>
    </row>
    <row r="3">
      <c r="A3" t="inlineStr">
        <is>
          <t>DeepSeek-R1-Distill-Qwen-14B-GGUF</t>
        </is>
      </c>
      <c r="B3" t="n">
        <v>2</v>
      </c>
      <c r="C3" t="inlineStr">
        <is>
          <t>Классификация</t>
        </is>
      </c>
      <c r="D3" t="n">
        <v>11.81550360000028</v>
      </c>
      <c r="E3" t="inlineStr">
        <is>
          <t xml:space="preserve">
атака</t>
        </is>
      </c>
      <c r="F3" t="n">
        <v/>
      </c>
      <c r="G3" t="n">
        <v>7</v>
      </c>
      <c r="H3" t="n">
        <v>1</v>
      </c>
      <c r="M3">
        <f>SUM(I3:L3)</f>
        <v/>
      </c>
    </row>
    <row r="4">
      <c r="A4" t="inlineStr">
        <is>
          <t>DeepSeek-R1-Distill-Qwen-14B-GGUF</t>
        </is>
      </c>
      <c r="B4" t="n">
        <v>3</v>
      </c>
      <c r="C4" t="inlineStr">
        <is>
          <t>Суммирование</t>
        </is>
      </c>
      <c r="D4" t="n">
        <v>6.987929500000064</v>
      </c>
      <c r="E4" t="inlineStr">
        <is>
          <t xml:space="preserve">
Zero Trust — это модель безопасности, требующая строгой проверки каждого пользователя и устройства, пытающегося получить доступ к ресурсам сети, независимо от их расположения внутри или вне периметра компании.</t>
        </is>
      </c>
      <c r="F4" t="n">
        <v/>
      </c>
      <c r="G4" t="n">
        <v>211</v>
      </c>
      <c r="H4" t="n">
        <v>28</v>
      </c>
      <c r="M4">
        <f>SUM(I4:L4)</f>
        <v/>
      </c>
    </row>
    <row r="5">
      <c r="A5" t="inlineStr">
        <is>
          <t>DeepSeek-R1-Distill-Qwen-14B-GGUF</t>
        </is>
      </c>
      <c r="B5" t="n">
        <v>4</v>
      </c>
      <c r="C5" t="inlineStr">
        <is>
          <t>Извлечение данных</t>
        </is>
      </c>
      <c r="D5" t="n">
        <v>6.409627300000011</v>
      </c>
      <c r="E5" t="inlineStr">
        <is>
          <t xml:space="preserve">
```json
{
  "name": "Иван Петров",
  "position": "ведущий инженер по безопасности",
  "company": "ООО Ромашка"
}
```</t>
        </is>
      </c>
      <c r="F5" t="n">
        <v/>
      </c>
      <c r="G5" t="n">
        <v>118</v>
      </c>
      <c r="H5" t="n">
        <v>15</v>
      </c>
      <c r="M5">
        <f>SUM(I5:L5)</f>
        <v/>
      </c>
    </row>
    <row r="6">
      <c r="A6" t="inlineStr">
        <is>
          <t>DeepSeek-R1-Distill-Qwen-14B-GGUF</t>
        </is>
      </c>
      <c r="B6" t="n">
        <v>5</v>
      </c>
      <c r="C6" t="inlineStr">
        <is>
          <t>Генерация кода</t>
        </is>
      </c>
      <c r="D6" t="n">
        <v>18.05011580000019</v>
      </c>
      <c r="E6" t="inlineStr">
        <is>
          <t xml:space="preserve">
Here is a Python function that uses regular expressions to validate an email address:
```python
import re
def email_is_valid(email):
    pattern = r'^[a-zA-Z0-9_.+-]+@[a-zA-Z0-9-]+\.[a-zA-Z]{2,}$'
    return bool(re.fullmatch(pattern, email))
```
This function returns `True` if the input string is a valid email address according to the defined pattern and `False` otherwise.</t>
        </is>
      </c>
      <c r="F6" t="n">
        <v/>
      </c>
      <c r="G6" t="n">
        <v>381</v>
      </c>
      <c r="H6" t="n">
        <v>47</v>
      </c>
      <c r="M6">
        <f>SUM(I6:L6)</f>
        <v/>
      </c>
    </row>
    <row r="7">
      <c r="A7" t="inlineStr">
        <is>
          <t>DeepSeek-R1-Distill-Qwen-14B-GGUF</t>
        </is>
      </c>
      <c r="B7" t="n">
        <v>6</v>
      </c>
      <c r="C7" t="inlineStr">
        <is>
          <t>Поиск ошибки</t>
        </is>
      </c>
      <c r="D7" t="n">
        <v>9.719000699999924</v>
      </c>
      <c r="E7" t="inlineStr">
        <is>
          <t xml:space="preserve">
The error is due to incorrect order of operations. The function returns `a + (b * 2)` instead of `(a + b) * 2`. To get the expected result:
**Step-by-step Explanation:**
1. **Current Function Behavior:** `add(2,3)` computes `2 + (3*2) = 8`.
2. **Desired Result:** Expected output is 10 when adding and then multiplying by 2.
3. **Fix:** Change the calculation to `(a + b) * 2`.
**Corrected Code:**
```python
def add(a, b):
    return (a + b) * 2
```
When `add(2,3)` is called now, it computes `(2+3)*2 = 10`, which matches the expected result.</t>
        </is>
      </c>
      <c r="F7" t="n">
        <v/>
      </c>
      <c r="G7" t="n">
        <v>548</v>
      </c>
      <c r="H7" t="n">
        <v>95</v>
      </c>
      <c r="M7">
        <f>SUM(I7:L7)</f>
        <v/>
      </c>
    </row>
    <row r="8">
      <c r="A8" t="inlineStr">
        <is>
          <t>DeepSeek-R1-Distill-Qwen-14B-GGUF</t>
        </is>
      </c>
      <c r="B8" t="n">
        <v>7</v>
      </c>
      <c r="C8" t="inlineStr">
        <is>
          <t>Логика</t>
        </is>
      </c>
      <c r="D8" t="n">
        <v>13.0141950999996</v>
      </c>
      <c r="E8" t="inlineStr">
        <is>
          <t xml:space="preserve">
Давайте разберёмся с задачей шаг за шагом:
1. **Имеем три шляпы:** Красная, зелёная, синяя.
2. **Люди:** Алиса, Боб, Чарли.
**Условия:**
- Алиса не носит красную шляпу.
- Боб носит зелённую шляпу.
**Решение:**
1. **Боб носит зелённую шляпу.**  
   Это у нас фиксировано, значит:
   - Боб — зелёная шляпа.
2. **Алиса не носит красную шляпу.**  
   Значит, Алиса может носить только зелёную или синюю шляпу.
3. **Определение для Алисы и Чарли:**  
   - Поскольку Боб уже носит зелённую шляпу,剩下只剩下 красная и синяя.
   - Алиса не может носить красную, значит она должна носить синюю.
   - Остаётся красная шляпа для Чарли.
**Итоговый ответ:**
- Алиса — синяя шляпа
- Боб — зелёная шляпа
- Чарли — красная шляпа</t>
        </is>
      </c>
      <c r="F8" t="n">
        <v/>
      </c>
      <c r="G8" t="n">
        <v>716</v>
      </c>
      <c r="H8" t="n">
        <v>112</v>
      </c>
      <c r="M8">
        <f>SUM(I8:L8)</f>
        <v/>
      </c>
    </row>
    <row r="9">
      <c r="A9" t="inlineStr">
        <is>
          <t>DeepSeek-R1-Distill-Qwen-14B-GGUF</t>
        </is>
      </c>
      <c r="B9" t="n">
        <v>8</v>
      </c>
      <c r="C9" t="inlineStr">
        <is>
          <t>Информационная безопасность</t>
        </is>
      </c>
      <c r="D9" t="n">
        <v>13.86879080000017</v>
      </c>
      <c r="E9" t="inlineStr">
        <is>
          <t xml:space="preserve">
To protect a web application from SQL injection attacks, the following three main measures are essential:
1. **Use Prepared Statements (Parameterized Queries)**: This method separates SQL code from user input, ensuring that user inputs are treated as data rather than executable code.
2. **Input Validation and Sanitization**: Validate all user inputs against expected formats and criteria to block malicious attempts before they can be used in queries.
3. **Use Stored Procedures**: By executing predefined database operations on the server, stored procedures reduce the risk of SQL injection by limiting direct dynamic SQL execution.
These measures collectively create a robust defense mechanism against SQL injection threats.</t>
        </is>
      </c>
      <c r="F9" t="n">
        <v/>
      </c>
      <c r="G9" t="n">
        <v>734</v>
      </c>
      <c r="H9" t="n">
        <v>105</v>
      </c>
      <c r="M9">
        <f>SUM(I9:L9)</f>
        <v/>
      </c>
    </row>
    <row r="10">
      <c r="A10" t="inlineStr">
        <is>
          <t>DeepSeek-R1-Distill-Qwen-14B-GGUF</t>
        </is>
      </c>
      <c r="B10" t="n">
        <v>9</v>
      </c>
      <c r="C10" t="inlineStr">
        <is>
          <t>Деловой стиль</t>
        </is>
      </c>
      <c r="D10" t="n">
        <v>7.485899499999959</v>
      </c>
      <c r="E10" t="inlineStr">
        <is>
          <t xml:space="preserve">
Исполнение данного задания в установленный срок невозможно ввиду технического сбоя базы данных.</t>
        </is>
      </c>
      <c r="F10" t="n">
        <v/>
      </c>
      <c r="G10" t="n">
        <v>97</v>
      </c>
      <c r="H10" t="n">
        <v>12</v>
      </c>
      <c r="M10">
        <f>SUM(I10:L10)</f>
        <v/>
      </c>
    </row>
    <row r="11">
      <c r="A11" t="inlineStr">
        <is>
          <t>DeepSeek-R1-Distill-Qwen-14B-GGUF</t>
        </is>
      </c>
      <c r="B11" t="n">
        <v>10</v>
      </c>
      <c r="C11" t="inlineStr">
        <is>
          <t>Жесткий формат</t>
        </is>
      </c>
      <c r="D11" t="n">
        <v>4.287323400000332</v>
      </c>
      <c r="E11" t="inlineStr">
        <is>
          <t xml:space="preserve">
1. **Privacy Protection**: Hides your IP address and browsing activity from trackers, ISPs, and governments.  
2. **Data Encryption**: Safeguards your internet traffic from cyber threats and data breaches.  
3. **Access to Geo-Blocked Content**: Enables you to bypass regional restrictions on websites and streaming services.</t>
        </is>
      </c>
      <c r="F11" t="n">
        <v/>
      </c>
      <c r="G11" t="n">
        <v>327</v>
      </c>
      <c r="H11" t="n">
        <v>44</v>
      </c>
      <c r="M11">
        <f>SUM(I11:L11)</f>
        <v/>
      </c>
    </row>
    <row r="12">
      <c r="A12" t="inlineStr">
        <is>
          <t>LLaMa-3.1-Instruct-Zeroed-13B-GGUF</t>
        </is>
      </c>
      <c r="B12" t="n">
        <v>1</v>
      </c>
      <c r="C12" t="inlineStr">
        <is>
          <t>Объяснение</t>
        </is>
      </c>
      <c r="D12" t="n">
        <v>5.089622099999815</v>
      </c>
      <c r="E12" t="inlineStr">
        <is>
          <t>Хеширование и симметричное шифрование - два разных метода защищения данных.
Хеширование: алгоритм, который принимает входные данные (например, пароль), производит сложную Transformation и дает фиксированную длину выходных данных (хеш). Хеш невозможно восстановить обратно. Пример - парольная защита.
Симметричное шифрование: алгоритм, который принимает входные данные и ключ шифрования, производит секретную Transformation и дает зашифрованные данные. Чтобы расшифровать, нужно использовать тот же ключ. Пример - HTTPS соединения.
В хешировании важен одинаковость исходных данных, а в симметричном шифровании важен использованный ключ.</t>
        </is>
      </c>
      <c r="F12" t="n">
        <v/>
      </c>
      <c r="G12" t="n">
        <v>638</v>
      </c>
      <c r="H12" t="n">
        <v>77</v>
      </c>
      <c r="M12">
        <f>SUM(I12:L12)</f>
        <v/>
      </c>
    </row>
    <row r="13">
      <c r="A13" t="inlineStr">
        <is>
          <t>LLaMa-3.1-Instruct-Zeroed-13B-GGUF</t>
        </is>
      </c>
      <c r="B13" t="n">
        <v>2</v>
      </c>
      <c r="C13" t="inlineStr">
        <is>
          <t>Классификация</t>
        </is>
      </c>
      <c r="D13" t="n">
        <v>0.1403354999997645</v>
      </c>
      <c r="E13" t="inlineStr">
        <is>
          <t>Атака.</t>
        </is>
      </c>
      <c r="F13" t="n">
        <v/>
      </c>
      <c r="G13" t="n">
        <v>6</v>
      </c>
      <c r="H13" t="n">
        <v>1</v>
      </c>
      <c r="M13">
        <f>SUM(I13:L13)</f>
        <v/>
      </c>
    </row>
    <row r="14">
      <c r="A14" t="inlineStr">
        <is>
          <t>LLaMa-3.1-Instruct-Zeroed-13B-GGUF</t>
        </is>
      </c>
      <c r="B14" t="n">
        <v>3</v>
      </c>
      <c r="C14" t="inlineStr">
        <is>
          <t>Суммирование</t>
        </is>
      </c>
      <c r="D14" t="n">
        <v>0.673956999999973</v>
      </c>
      <c r="E14" t="inlineStr">
        <is>
          <t>"Zero Trust - это модель безопасности, требующая строгой проверки каждого пользователя и устройства для доступа к сетевым ресурсам, независимо от места его нахождения".</t>
        </is>
      </c>
      <c r="F14" t="n">
        <v/>
      </c>
      <c r="G14" t="n">
        <v>168</v>
      </c>
      <c r="H14" t="n">
        <v>23</v>
      </c>
      <c r="M14">
        <f>SUM(I14:L14)</f>
        <v/>
      </c>
    </row>
    <row r="15">
      <c r="A15" t="inlineStr">
        <is>
          <t>LLaMa-3.1-Instruct-Zeroed-13B-GGUF</t>
        </is>
      </c>
      <c r="B15" t="n">
        <v>4</v>
      </c>
      <c r="C15" t="inlineStr">
        <is>
          <t>Извлечение данных</t>
        </is>
      </c>
      <c r="D15" t="n">
        <v>0.6188625999998294</v>
      </c>
      <c r="E15" t="inlineStr">
        <is>
          <t>{"имя": "Иван", "должность": "ведущий инженер по безопасности", "компания": "ООО Ромашка"}</t>
        </is>
      </c>
      <c r="F15" t="n">
        <v/>
      </c>
      <c r="G15" t="n">
        <v>90</v>
      </c>
      <c r="H15" t="n">
        <v>10</v>
      </c>
      <c r="M15">
        <f>SUM(I15:L15)</f>
        <v/>
      </c>
    </row>
    <row r="16">
      <c r="A16" t="inlineStr">
        <is>
          <t>LLaMa-3.1-Instruct-Zeroed-13B-GGUF</t>
        </is>
      </c>
      <c r="B16" t="n">
        <v>5</v>
      </c>
      <c r="C16" t="inlineStr">
        <is>
          <t>Генерация кода</t>
        </is>
      </c>
      <c r="D16" t="n">
        <v>1.72134829999959</v>
      </c>
      <c r="E16" t="inlineStr">
        <is>
          <t>```python
import re
def is_valid_email(email):
    pattern = r"^[a-zA-Z0-9_.+-]+@[a-zA-Z0-9-]+\.[a-zA-Z0-9-.]+$"
    return bool(re.match(pattern, email))
```
Примеры использования:
```python
print(is_valid_email("test@example.com"))  # True
print(is_valid_email("invalid-email"))  # False
print(is_valid_email("test@.com"))  # False
```</t>
        </is>
      </c>
      <c r="F16" t="n">
        <v/>
      </c>
      <c r="G16" t="n">
        <v>340</v>
      </c>
      <c r="H16" t="n">
        <v>25</v>
      </c>
      <c r="M16">
        <f>SUM(I16:L16)</f>
        <v/>
      </c>
    </row>
    <row r="17">
      <c r="A17" t="inlineStr">
        <is>
          <t>LLaMa-3.1-Instruct-Zeroed-13B-GGUF</t>
        </is>
      </c>
      <c r="B17" t="n">
        <v>6</v>
      </c>
      <c r="C17" t="inlineStr">
        <is>
          <t>Поиск ошибки</t>
        </is>
      </c>
      <c r="D17" t="n">
        <v>2.867288800000097</v>
      </c>
      <c r="E17" t="inlineStr">
        <is>
          <t>Ошибка заключается в том, что умножение `b` и `2` происходит до сложения результата с `a`, что приводит к неправильному результату.
Код:
```python
def add(a, b):
    return a + b * 2
```
Исправленный код:
```python
def add(a, b):
    return (a + b) * 2
```
В этом исправленном коде сначала складываются `a` и `b`, а затем результат умножается на `2`.
Альтернативное решение, которое не меняет порядок операций, но дает правильный результат:
```python
def add(a, b):
    return a + (b * 2)
```
В этом случае `b` сначала умножается на `2`, а затем результат добавляется к `a`.</t>
        </is>
      </c>
      <c r="F17" t="n">
        <v/>
      </c>
      <c r="G17" t="n">
        <v>576</v>
      </c>
      <c r="H17" t="n">
        <v>96</v>
      </c>
      <c r="M17">
        <f>SUM(I17:L17)</f>
        <v/>
      </c>
    </row>
    <row r="18">
      <c r="A18" t="inlineStr">
        <is>
          <t>LLaMa-3.1-Instruct-Zeroed-13B-GGUF</t>
        </is>
      </c>
      <c r="B18" t="n">
        <v>7</v>
      </c>
      <c r="C18" t="inlineStr">
        <is>
          <t>Логика</t>
        </is>
      </c>
      <c r="D18" t="n">
        <v>1.004403699999784</v>
      </c>
      <c r="E18" t="inlineStr">
        <is>
          <t>Боб носит зеленую шляпу.
Алиса носит либо красную, либо синюю шляпу.
Чарли должен носить красную шляпу, потому что Алиса не может носить ее, а Боб уже носит зеленую шляпу.</t>
        </is>
      </c>
      <c r="F18" t="n">
        <v/>
      </c>
      <c r="G18" t="n">
        <v>171</v>
      </c>
      <c r="H18" t="n">
        <v>29</v>
      </c>
      <c r="M18">
        <f>SUM(I18:L18)</f>
        <v/>
      </c>
    </row>
    <row r="19">
      <c r="A19" t="inlineStr">
        <is>
          <t>LLaMa-3.1-Instruct-Zeroed-13B-GGUF</t>
        </is>
      </c>
      <c r="B19" t="n">
        <v>8</v>
      </c>
      <c r="C19" t="inlineStr">
        <is>
          <t>Информационная безопасность</t>
        </is>
      </c>
      <c r="D19" t="n">
        <v>6.88739570000007</v>
      </c>
      <c r="E19" t="inlineStr">
        <is>
          <t>Чтобы защитить веб-приложение от SQL-инъекций, можно выполнять следующие основные меры:
1. **Использование параметрической базы данных**: Вместо прямого включения пользовательских входных данных в SQL-запрос, используйте параметризированные запросы, которые позволяют передавать значения как отдельные аргументы, не заменяя их на фактические данные в SQL-коде. Например, если вы используете JDBC (Java Database Connectivity), вы можете использовать метод `PreparedStatement` для создания параметрической базы данных.
2. **Проверка и фильтрация входных данных**: Извлеките и очистите пользовательские входные данные от потенциальных вредоносных символов, таких как знаки «;», «`, или любые другие специальные символы, которые можно использовать в SQL-инъекциях. Существует несколько библиотек для проверки и фильтрации входных данных, такие как OWASP ESAPI (Enterprise Security API).
3. **Использование готовых SQL-объектов**: Вместо написания SQL-код от scratch в приложении, используйте готовые SQL-объекты, такие как Hibernate или Entity Framework, которые автоматически генерируют безопасные SQL-запросы на основе данных и запроса.
4. **Проверка всех входных данных**: Проверьте все входные данные на предмет потенциальных SQL-инъекций, включая HTTP-параметры, cookie-значения и т.д.
5. **Использование библиотек защиты от SQL-инъекций**: Используйте специальные библиотеки для защиты от SQL-инъекций, такие как OWASP ESAPI (Enterprise Security API), которые могут помочь в проверке и фильтрации входных данных.
Важно отметить, что эти меры должны быть применены на этапе разработки приложения, а не после его выпуска. Чрезмерная сосредоточенность на безопасности может привести к снижению производительности или усложнению системы, поэтому важно найти баланс между безопасностью и функциональностью.</t>
        </is>
      </c>
      <c r="F19" t="n">
        <v/>
      </c>
      <c r="G19" t="n">
        <v>1808</v>
      </c>
      <c r="H19" t="n">
        <v>220</v>
      </c>
      <c r="M19">
        <f>SUM(I19:L19)</f>
        <v/>
      </c>
    </row>
    <row r="20">
      <c r="A20" t="inlineStr">
        <is>
          <t>LLaMa-3.1-Instruct-Zeroed-13B-GGUF</t>
        </is>
      </c>
      <c r="B20" t="n">
        <v>9</v>
      </c>
      <c r="C20" t="inlineStr">
        <is>
          <t>Деловой стиль</t>
        </is>
      </c>
      <c r="D20" t="n">
        <v>0.7631991999996899</v>
      </c>
      <c r="E20" t="inlineStr">
        <is>
          <t>"К сожалению, мы столкнулись с непредвиденной технической проблемой - несработала нашу базу данных. Это затрудняет выполнение задачи в ожидаемое времяframes."</t>
        </is>
      </c>
      <c r="F20" t="n">
        <v/>
      </c>
      <c r="G20" t="n">
        <v>158</v>
      </c>
      <c r="H20" t="n">
        <v>20</v>
      </c>
      <c r="M20">
        <f>SUM(I20:L20)</f>
        <v/>
      </c>
    </row>
    <row r="21">
      <c r="A21" t="inlineStr">
        <is>
          <t>LLaMa-3.1-Instruct-Zeroed-13B-GGUF</t>
        </is>
      </c>
      <c r="B21" t="n">
        <v>10</v>
      </c>
      <c r="C21" t="inlineStr">
        <is>
          <t>Жесткий формат</t>
        </is>
      </c>
      <c r="D21" t="n">
        <v>0.5148810999999114</v>
      </c>
      <c r="E21" t="inlineStr">
        <is>
          <t>1. Защита личной информации
2. Анонимность в сети
3. Безопасная работа через публичные Wi-Fi</t>
        </is>
      </c>
      <c r="F21" t="n">
        <v/>
      </c>
      <c r="G21" t="n">
        <v>92</v>
      </c>
      <c r="H21" t="n">
        <v>14</v>
      </c>
      <c r="M21">
        <f>SUM(I21:L21)</f>
        <v/>
      </c>
    </row>
    <row r="22">
      <c r="A22" t="inlineStr">
        <is>
          <t>Qwen2.5-14B-Instruct-GGUF</t>
        </is>
      </c>
      <c r="B22" t="n">
        <v>1</v>
      </c>
      <c r="C22" t="inlineStr">
        <is>
          <t>Объяснение</t>
        </is>
      </c>
      <c r="D22" t="n">
        <v>4.312465400000292</v>
      </c>
      <c r="E22" t="inlineStr">
        <is>
          <t>Хеширование преобразует данные в фиксированную длины строку (хеш), который не может быть восстановлен к исходному формату. Используется для проверки целостности данных и паролей.
Симметричное шифрование зашифровывает и дешифрует данные с использованием одного секретного ключа, обеспечивая конфиденциальность информации между отправителем и получателем.</t>
        </is>
      </c>
      <c r="F22" t="n">
        <v/>
      </c>
      <c r="G22" t="n">
        <v>354</v>
      </c>
      <c r="H22" t="n">
        <v>41</v>
      </c>
      <c r="M22">
        <f>SUM(I22:L22)</f>
        <v/>
      </c>
    </row>
    <row r="23">
      <c r="A23" t="inlineStr">
        <is>
          <t>Qwen2.5-14B-Instruct-GGUF</t>
        </is>
      </c>
      <c r="B23" t="n">
        <v>2</v>
      </c>
      <c r="C23" t="inlineStr">
        <is>
          <t>Классификация</t>
        </is>
      </c>
      <c r="D23" t="n">
        <v>0.1385949000004984</v>
      </c>
      <c r="E23" t="inlineStr">
        <is>
          <t>Аномалия</t>
        </is>
      </c>
      <c r="F23" t="n">
        <v/>
      </c>
      <c r="G23" t="n">
        <v>8</v>
      </c>
      <c r="H23" t="n">
        <v>1</v>
      </c>
      <c r="M23">
        <f>SUM(I23:L23)</f>
        <v/>
      </c>
    </row>
    <row r="24">
      <c r="A24" t="inlineStr">
        <is>
          <t>Qwen2.5-14B-Instruct-GGUF</t>
        </is>
      </c>
      <c r="B24" t="n">
        <v>3</v>
      </c>
      <c r="C24" t="inlineStr">
        <is>
          <t>Суммирование</t>
        </is>
      </c>
      <c r="D24" t="n">
        <v>0.9360196999996332</v>
      </c>
      <c r="E24" t="inlineStr">
        <is>
          <t>Zero Trust представляет собой модель безопасности, предусматривающую строгую верификацию пользователей и устройств для доступа к сетевым ресурсам вне зависимости от их местоположения относительно компании.</t>
        </is>
      </c>
      <c r="F24" t="n">
        <v/>
      </c>
      <c r="G24" t="n">
        <v>205</v>
      </c>
      <c r="H24" t="n">
        <v>24</v>
      </c>
      <c r="M24">
        <f>SUM(I24:L24)</f>
        <v/>
      </c>
    </row>
    <row r="25">
      <c r="A25" t="inlineStr">
        <is>
          <t>Qwen2.5-14B-Instruct-GGUF</t>
        </is>
      </c>
      <c r="B25" t="n">
        <v>4</v>
      </c>
      <c r="C25" t="inlineStr">
        <is>
          <t>Извлечение данных</t>
        </is>
      </c>
      <c r="D25" t="n">
        <v>0.8289856000001237</v>
      </c>
      <c r="E25" t="inlineStr">
        <is>
          <t>{
  "имя": "Иван Петров",
  "должность": "ведущий инженер по безопасности",
  "компания": "ООО Ромашка"
}</t>
        </is>
      </c>
      <c r="F25" t="n">
        <v/>
      </c>
      <c r="G25" t="n">
        <v>105</v>
      </c>
      <c r="H25" t="n">
        <v>13</v>
      </c>
      <c r="M25">
        <f>SUM(I25:L25)</f>
        <v/>
      </c>
    </row>
    <row r="26">
      <c r="A26" t="inlineStr">
        <is>
          <t>Qwen2.5-14B-Instruct-GGUF</t>
        </is>
      </c>
      <c r="B26" t="n">
        <v>5</v>
      </c>
      <c r="C26" t="inlineStr">
        <is>
          <t>Генерация кода</t>
        </is>
      </c>
      <c r="D26" t="n">
        <v>1.060130600000775</v>
      </c>
      <c r="E26" t="inlineStr">
        <is>
          <t>```python
import re
def is_valid_email(email):
    pattern = r'^[a-zA-Z0-9._%+-]+@[a-zA-Z0-9.-]+\.[a-zA-Z]{2,}$'
    return bool(re.match(pattern, email))
```</t>
        </is>
      </c>
      <c r="F26" t="n">
        <v/>
      </c>
      <c r="G26" t="n">
        <v>159</v>
      </c>
      <c r="H26" t="n">
        <v>12</v>
      </c>
      <c r="M26">
        <f>SUM(I26:L26)</f>
        <v/>
      </c>
    </row>
    <row r="27">
      <c r="A27" t="inlineStr">
        <is>
          <t>Qwen2.5-14B-Instruct-GGUF</t>
        </is>
      </c>
      <c r="B27" t="n">
        <v>6</v>
      </c>
      <c r="C27" t="inlineStr">
        <is>
          <t>Поиск ошибки</t>
        </is>
      </c>
      <c r="D27" t="n">
        <v>5.632782399999996</v>
      </c>
      <c r="E27" t="inlineStr">
        <is>
          <t>В вашем коде результат не соответствует ожидаемому значению из-за приоритета операций. Python выполняет умножение перед сложением согласно правилам математической алгебры (Пемдас: скобки, показатели степени, умножение и деление, сложение и вычитание). В вашей функции `add(a, b)` выражение `a + b * 2` будет интерпретировано как `a + (b * 2)`. Когда вы вызываете `add(2, 3)`, результатом является `2 + (3 * 2) = 2 + 6 = 8`.
Если вы хотите получить результат 10 при вызове `add(2, 3)`, вам нужно изменить порядок операций, используя скобки для группировки нужных выражений. Чтобы вернуть ожидаемый результат (а именно, сложение с последующим умножением), функцию следует переписать следующим образом:
```python
def add(a, b):
    return (a + b) * 2
```
Теперь при вызове `add(2, 3)` выражение будет вычисляться как `(2 + 3) * 2 = 5 * 2 = 10`, что и требуется.</t>
        </is>
      </c>
      <c r="F27" t="n">
        <v/>
      </c>
      <c r="G27" t="n">
        <v>861</v>
      </c>
      <c r="H27" t="n">
        <v>137</v>
      </c>
      <c r="M27">
        <f>SUM(I27:L27)</f>
        <v/>
      </c>
    </row>
    <row r="28">
      <c r="A28" t="inlineStr">
        <is>
          <t>Qwen2.5-14B-Instruct-GGUF</t>
        </is>
      </c>
      <c r="B28" t="n">
        <v>7</v>
      </c>
      <c r="C28" t="inlineStr">
        <is>
          <t>Логика</t>
        </is>
      </c>
      <c r="D28" t="n">
        <v>2.152644700000565</v>
      </c>
      <c r="E28" t="inlineStr">
        <is>
          <t>Алиса носит синюю шляпу, Боб носит зеленую, а Чарли носит красную. Это следует из условия задачи: Алиса не может носить красную, значит у нее или зелёная, или синяя, но так как Боб уже носит зеленую шляпу, то Алисе остается только синяя шляпа. Оставшаяся красная шляпа автоматически достается Чарли.</t>
        </is>
      </c>
      <c r="F28" t="n">
        <v/>
      </c>
      <c r="G28" t="n">
        <v>299</v>
      </c>
      <c r="H28" t="n">
        <v>48</v>
      </c>
      <c r="M28">
        <f>SUM(I28:L28)</f>
        <v/>
      </c>
    </row>
    <row r="29">
      <c r="A29" t="inlineStr">
        <is>
          <t>Qwen2.5-14B-Instruct-GGUF</t>
        </is>
      </c>
      <c r="B29" t="n">
        <v>8</v>
      </c>
      <c r="C29" t="inlineStr">
        <is>
          <t>Информационная безопасность</t>
        </is>
      </c>
      <c r="D29" t="n">
        <v>3.601167100000566</v>
      </c>
      <c r="E29" t="inlineStr">
        <is>
          <t>Для защиты веб-приложений от SQL-инъекций можно принять следующие меры:
1. Использование параметризованных запросов (PreparedStatement): Это метод, который автоматически управляется драйвером базы данных и предотвращает внедрение SQL-кода через пользовательский ввод.
2. Применение механизмов наложения (input validation и sanitization): Валидация входных данных должна проверять их тип, формат и диапазон значений. Санитизация удаляет или заменяет возможные опасные символы в строке запроса.
3. Использование ORM (Object-Relational Mapping) технологий: ORM абстрагирует работу с базой данных на уровне объектов и автоматически формирует безопасные SQL-запросы, что снижает риск возникновения инъекций.</t>
        </is>
      </c>
      <c r="F29" t="n">
        <v/>
      </c>
      <c r="G29" t="n">
        <v>705</v>
      </c>
      <c r="H29" t="n">
        <v>83</v>
      </c>
      <c r="M29">
        <f>SUM(I29:L29)</f>
        <v/>
      </c>
    </row>
    <row r="30">
      <c r="A30" t="inlineStr">
        <is>
          <t>Qwen2.5-14B-Instruct-GGUF</t>
        </is>
      </c>
      <c r="B30" t="n">
        <v>9</v>
      </c>
      <c r="C30" t="inlineStr">
        <is>
          <t>Деловой стиль</t>
        </is>
      </c>
      <c r="D30" t="n">
        <v>0.7664515999995274</v>
      </c>
      <c r="E30" t="inlineStr">
        <is>
          <t>Ввиду возникшей технической непредвиденности (сбоев в работе базы данных) выполнение задания в установленный срок становится невозможным.</t>
        </is>
      </c>
      <c r="F30" t="n">
        <v/>
      </c>
      <c r="G30" t="n">
        <v>137</v>
      </c>
      <c r="H30" t="n">
        <v>16</v>
      </c>
      <c r="M30">
        <f>SUM(I30:L30)</f>
        <v/>
      </c>
    </row>
    <row r="31">
      <c r="A31" t="inlineStr">
        <is>
          <t>Qwen2.5-14B-Instruct-GGUF</t>
        </is>
      </c>
      <c r="B31" t="n">
        <v>10</v>
      </c>
      <c r="C31" t="inlineStr">
        <is>
          <t>Жесткий формат</t>
        </is>
      </c>
      <c r="D31" t="n">
        <v>1.059092599999531</v>
      </c>
      <c r="E31" t="inlineStr">
        <is>
          <t>1. Защита приватности и безопасности данных при использовании интернета.
2. Обход географических ограничений на доступ к контенту.
3. Увеличение скорости загрузки благодаря оптимизации соединения.</t>
        </is>
      </c>
      <c r="F31" t="n">
        <v/>
      </c>
      <c r="G31" t="n">
        <v>196</v>
      </c>
      <c r="H31" t="n">
        <v>24</v>
      </c>
      <c r="M31">
        <f>SUM(I31:L31)</f>
        <v/>
      </c>
    </row>
    <row r="32">
      <c r="A32" t="inlineStr">
        <is>
          <t>gemma-4-12b-it-QAT-GGUF</t>
        </is>
      </c>
      <c r="B32" t="n">
        <v>1</v>
      </c>
      <c r="C32" t="inlineStr">
        <is>
          <t>Объяснение</t>
        </is>
      </c>
      <c r="D32" t="n">
        <v>11.46950400000014</v>
      </c>
      <c r="E32" t="inlineStr">
        <is>
          <t>Разница заключается в **обратимости** и **целях**:
1. **Хеширование** — это одностороннее преобразование. Данные любого объема превращаются в строку фиксированной длины (хеш). Из хеша невозможно восстановить исходный текст. 
   *   **Цель:** Обеспечение **целостности** данных (проверка контрольных сумм, хранение паролей).
   *   **Свойства:** Детерминированность, устойчивость к коллизиям, лавинный эффект.
2. **Симметричное шифрование** — это двусторонний процесс. Данные шифруются с помощью секретного ключа и могут быть расшифрованы тем же ключом обратно в исходный вид.
   *   **Цель:** Обеспечение **конфиденциальности** (безопасная передача сообщений).
   *   **Свойства:** Обратимость, работа с алгоритмами (AES, ChaCha20).
**Итог:** Хеш — это «отпечаток» (нельзя вернуть назад), шифрование — это «сейф» (можно открыть ключом).</t>
        </is>
      </c>
      <c r="F32" t="n">
        <v/>
      </c>
      <c r="G32" t="n">
        <v>839</v>
      </c>
      <c r="H32" t="n">
        <v>99</v>
      </c>
      <c r="M32">
        <f>SUM(I32:L32)</f>
        <v/>
      </c>
    </row>
    <row r="33">
      <c r="A33" t="inlineStr">
        <is>
          <t>gemma-4-12b-it-QAT-GGUF</t>
        </is>
      </c>
      <c r="B33" t="n">
        <v>2</v>
      </c>
      <c r="C33" t="inlineStr">
        <is>
          <t>Классификация</t>
        </is>
      </c>
      <c r="D33" t="n">
        <v>8.244928799999798</v>
      </c>
      <c r="E33" t="inlineStr">
        <is>
          <t>Взлом</t>
        </is>
      </c>
      <c r="F33" t="n">
        <v/>
      </c>
      <c r="G33" t="n">
        <v>5</v>
      </c>
      <c r="H33" t="n">
        <v>1</v>
      </c>
      <c r="M33">
        <f>SUM(I33:L33)</f>
        <v/>
      </c>
    </row>
    <row r="34">
      <c r="A34" t="inlineStr">
        <is>
          <t>gemma-4-12b-it-QAT-GGUF</t>
        </is>
      </c>
      <c r="B34" t="n">
        <v>3</v>
      </c>
      <c r="C34" t="inlineStr">
        <is>
          <t>Суммирование</t>
        </is>
      </c>
      <c r="D34" t="n">
        <v>4.836921800000255</v>
      </c>
      <c r="E34" t="inlineStr">
        <is>
          <t>Zero Trust — это модель безопасности, требующая обязательной проверки любого пользователя и устройства при доступе к ресурсам сети независимо от их местоположения.</t>
        </is>
      </c>
      <c r="F34" t="n">
        <v/>
      </c>
      <c r="G34" t="n">
        <v>163</v>
      </c>
      <c r="H34" t="n">
        <v>22</v>
      </c>
      <c r="M34">
        <f>SUM(I34:L34)</f>
        <v/>
      </c>
    </row>
    <row r="35">
      <c r="A35" t="inlineStr">
        <is>
          <t>gemma-4-12b-it-QAT-GGUF</t>
        </is>
      </c>
      <c r="B35" t="n">
        <v>4</v>
      </c>
      <c r="C35" t="inlineStr">
        <is>
          <t>Извлечение данных</t>
        </is>
      </c>
      <c r="D35" t="n">
        <v>3.117199599999822</v>
      </c>
      <c r="E35" t="inlineStr">
        <is>
          <t>```json
{
  "имя": "Иван Петров",
  "должность": "ведущий инженер по безопасности",
  "компания": "ООО Ромашка"
}
```</t>
        </is>
      </c>
      <c r="F35" t="n">
        <v/>
      </c>
      <c r="G35" t="n">
        <v>117</v>
      </c>
      <c r="H35" t="n">
        <v>15</v>
      </c>
      <c r="M35">
        <f>SUM(I35:L35)</f>
        <v/>
      </c>
    </row>
    <row r="36">
      <c r="A36" t="inlineStr">
        <is>
          <t>gemma-4-12b-it-QAT-GGUF</t>
        </is>
      </c>
      <c r="B36" t="n">
        <v>5</v>
      </c>
      <c r="C36" t="inlineStr">
        <is>
          <t>Генерация кода</t>
        </is>
      </c>
      <c r="D36" t="n">
        <v>3.384250099999917</v>
      </c>
      <c r="E36" t="inlineStr">
        <is>
          <t>```python
import re
def is_valid_email(email):
    pattern = r'^[a-zA-Z0-9._%+-]+@[a-zA-Z0-9.-]+\.[a-zA-Z]{2,}$'
    return bool(re.match(pattern, email))
```</t>
        </is>
      </c>
      <c r="F36" t="n">
        <v/>
      </c>
      <c r="G36" t="n">
        <v>159</v>
      </c>
      <c r="H36" t="n">
        <v>12</v>
      </c>
      <c r="M36">
        <f>SUM(I36:L36)</f>
        <v/>
      </c>
    </row>
    <row r="37">
      <c r="A37" t="inlineStr">
        <is>
          <t>gemma-4-12b-it-QAT-GGUF</t>
        </is>
      </c>
      <c r="B37" t="n">
        <v>6</v>
      </c>
      <c r="C37" t="inlineStr">
        <is>
          <t>Поиск ошибки</t>
        </is>
      </c>
      <c r="D37" t="n">
        <v>3.277890700000171</v>
      </c>
      <c r="E37" t="inlineStr">
        <is>
          <t>**Ошибка:** Отсутствие скобок для изменения приоритета операций. В текущем коде умножение (`b * 2`) выполняется раньше сложения.
**Как исправить:** Нужно взять сумму `a + b` в скобки, чтобы она вычислялась первой.
**Исправленный код:**
```python
def add(a, b):
    return (a + b) * 2
```</t>
        </is>
      </c>
      <c r="F37" t="n">
        <v/>
      </c>
      <c r="G37" t="n">
        <v>289</v>
      </c>
      <c r="H37" t="n">
        <v>44</v>
      </c>
      <c r="M37">
        <f>SUM(I37:L37)</f>
        <v/>
      </c>
    </row>
    <row r="38">
      <c r="A38" t="inlineStr">
        <is>
          <t>gemma-4-12b-it-QAT-GGUF</t>
        </is>
      </c>
      <c r="B38" t="n">
        <v>7</v>
      </c>
      <c r="C38" t="inlineStr">
        <is>
          <t>Логика</t>
        </is>
      </c>
      <c r="D38" t="n">
        <v>3.087479900000289</v>
      </c>
      <c r="E38" t="inlineStr">
        <is>
          <t>Алиса — синяя, Боб — зеленая, Чарли — красная.</t>
        </is>
      </c>
      <c r="F38" t="n">
        <v/>
      </c>
      <c r="G38" t="n">
        <v>46</v>
      </c>
      <c r="H38" t="n">
        <v>9</v>
      </c>
      <c r="M38">
        <f>SUM(I38:L38)</f>
        <v/>
      </c>
    </row>
    <row r="39">
      <c r="A39" t="inlineStr">
        <is>
          <t>gemma-4-12b-it-QAT-GGUF</t>
        </is>
      </c>
      <c r="B39" t="n">
        <v>8</v>
      </c>
      <c r="C39" t="inlineStr">
        <is>
          <t>Информационная безопасность</t>
        </is>
      </c>
      <c r="D39" t="n">
        <v>6.466376099999707</v>
      </c>
      <c r="E39" t="inlineStr">
        <is>
          <t>Для защиты веб-приложения от SQL-инъекций необходимо принять следующие основные меры:
1.  **Использование подготовленных выражений (Prepared Statements) и параметризованных запросов.** Это основной метод защиты, при котором SQL-запрос заранее компилируется, а пользовательские данные вставляются в него как параметры, что не позволяет интерпретировать их как часть программного кода.
2.  **Валидация и фильтрация входных данных.** Необходимо проверять все данные, поступающие от пользователя, на соответствие ожидаемым форматам (например, тип данных, длина, регулярное выражение). Лучше использовать «белые списки» (разрешать только конкретные значения).
3.  **Принцип наименьших привилегий (Principle of Least Privilege).** Учетная запись базы данных, используемая веб-приложением, должна иметь только те права, которые необходимы для его работы (например, запрет на удаление таблиц, доступ к системным процедурам или выполнение команд ОС).</t>
        </is>
      </c>
      <c r="F39" t="n">
        <v/>
      </c>
      <c r="G39" t="n">
        <v>942</v>
      </c>
      <c r="H39" t="n">
        <v>113</v>
      </c>
      <c r="M39">
        <f>SUM(I39:L39)</f>
        <v/>
      </c>
    </row>
    <row r="40">
      <c r="A40" t="inlineStr">
        <is>
          <t>gemma-4-12b-it-QAT-GGUF</t>
        </is>
      </c>
      <c r="B40" t="n">
        <v>9</v>
      </c>
      <c r="C40" t="inlineStr">
        <is>
          <t>Деловой стиль</t>
        </is>
      </c>
      <c r="D40" t="n">
        <v>4.71467419999999</v>
      </c>
      <c r="E40" t="inlineStr">
        <is>
          <t>Выполнение работ в установленные сроки не представляется возможным в связи с техническим сбоем базы данных.</t>
        </is>
      </c>
      <c r="F40" t="n">
        <v/>
      </c>
      <c r="G40" t="n">
        <v>107</v>
      </c>
      <c r="H40" t="n">
        <v>15</v>
      </c>
      <c r="M40">
        <f>SUM(I40:L40)</f>
        <v/>
      </c>
    </row>
    <row r="41">
      <c r="A41" t="inlineStr">
        <is>
          <t>gemma-4-12b-it-QAT-GGUF</t>
        </is>
      </c>
      <c r="B41" t="n">
        <v>10</v>
      </c>
      <c r="C41" t="inlineStr">
        <is>
          <t>Жесткий формат</t>
        </is>
      </c>
      <c r="D41" t="n">
        <v>3.523335599999882</v>
      </c>
      <c r="E41" t="inlineStr">
        <is>
          <t>1. Конфиденциальность и анонимность интернет-активности.
2. Защита данных при использовании публичных сетей Wi-Fi.
3. Обход географических ограничений и цензуры.</t>
        </is>
      </c>
      <c r="F41" t="n">
        <v/>
      </c>
      <c r="G41" t="n">
        <v>161</v>
      </c>
      <c r="H41" t="n">
        <v>19</v>
      </c>
      <c r="M41">
        <f>SUM(I41:L41)</f>
        <v/>
      </c>
    </row>
  </sheetData>
  <dataValidations count="4">
    <dataValidation sqref="I2 I3 I4 I5 I6 I7 I8 I9 I10 I11 I12 I13 I14 I15 I16 I17 I18 I19 I20 I21 I22 I23 I24 I25 I26 I27 I28 I29 I30 I31 I32 I33 I34 I35 I36 I37 I38 I39 I40 I41" showDropDown="0" showInputMessage="0" showErrorMessage="0" allowBlank="1" type="list">
      <formula1>"0,1,2"</formula1>
    </dataValidation>
    <dataValidation sqref="J2 J3 J4 J5 J6 J7 J8 J9 J10 J11 J12 J13 J14 J15 J16 J17 J18 J19 J20 J21 J22 J23 J24 J25 J26 J27 J28 J29 J30 J31 J32 J33 J34 J35 J36 J37 J38 J39 J40 J41" showDropDown="0" showInputMessage="0" showErrorMessage="0" allowBlank="1" type="list">
      <formula1>"0,1,2"</formula1>
    </dataValidation>
    <dataValidation sqref="K2 K3 K4 K5 K6 K7 K8 K9 K10 K11 K12 K13 K14 K15 K16 K17 K18 K19 K20 K21 K22 K23 K24 K25 K26 K27 K28 K29 K30 K31 K32 K33 K34 K35 K36 K37 K38 K39 K40 K41" showDropDown="0" showInputMessage="0" showErrorMessage="0" allowBlank="1" type="list">
      <formula1>"0,1,2"</formula1>
    </dataValidation>
    <dataValidation sqref="L2 L3 L4 L5 L6 L7 L8 L9 L10 L11 L12 L13 L14 L15 L16 L17 L18 L19 L20 L21 L22 L23 L24 L25 L26 L27 L28 L29 L30 L31 L32 L33 L34 L35 L36 L37 L38 L39 L40 L41"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Модель</t>
        </is>
      </c>
      <c r="B1" s="1" t="inlineStr">
        <is>
          <t>Средний балл</t>
        </is>
      </c>
      <c r="C1" s="1" t="inlineStr">
        <is>
          <t>Средняя корректность</t>
        </is>
      </c>
      <c r="D1" s="1" t="inlineStr">
        <is>
          <t>Средняя полнота</t>
        </is>
      </c>
      <c r="E1" s="1" t="inlineStr">
        <is>
          <t>Средняя инструкция</t>
        </is>
      </c>
      <c r="F1" s="1" t="inlineStr">
        <is>
          <t>Средняя полезность</t>
        </is>
      </c>
      <c r="G1" s="1" t="inlineStr">
        <is>
          <t>Средняя задержка</t>
        </is>
      </c>
      <c r="H1" s="1" t="inlineStr">
        <is>
          <t>Средняя длина ответа</t>
        </is>
      </c>
      <c r="I1" s="1" t="inlineStr">
        <is>
          <t>Количество ошибок</t>
        </is>
      </c>
    </row>
    <row r="2">
      <c r="A2" t="inlineStr">
        <is>
          <t>DeepSeek-R1-Distill-Qwen-14B-GGUF</t>
        </is>
      </c>
      <c r="B2">
        <f>ROUND(AVERAGEIF(Данные!$A:$A, A2, Данные!$M:$M), 2)</f>
        <v/>
      </c>
      <c r="C2">
        <f>ROUND(AVERAGEIF(Данные!$A:$A, A2, Данные!$I:$I), 2)</f>
        <v/>
      </c>
      <c r="D2">
        <f>ROUND(AVERAGEIF(Данные!$A:$A, A2, Данные!$J:$J), 2)</f>
        <v/>
      </c>
      <c r="E2">
        <f>ROUND(AVERAGEIF(Данные!$A:$A, A2, Данные!$K:$K), 2)</f>
        <v/>
      </c>
      <c r="F2">
        <f>ROUND(AVERAGEIF(Данные!$A:$A, A2, Данные!$L:$L), 2)</f>
        <v/>
      </c>
      <c r="G2">
        <f>ROUND(AVERAGEIF(Данные!$A:$A, A2, Данные!$D:$D), 3)</f>
        <v/>
      </c>
      <c r="H2">
        <f>ROUND(AVERAGEIF(Данные!$A:$A, A2, Данные!$G:$G), 1)</f>
        <v/>
      </c>
      <c r="I2">
        <f>COUNTIFS(Данные!$A:$A, A2, Данные!$F:$F, "&lt;&gt;")</f>
        <v/>
      </c>
    </row>
    <row r="3">
      <c r="A3" t="inlineStr">
        <is>
          <t>LLaMa-3.1-Instruct-Zeroed-13B-GGUF</t>
        </is>
      </c>
      <c r="B3">
        <f>ROUND(AVERAGEIF(Данные!$A:$A, A3, Данные!$M:$M), 2)</f>
        <v/>
      </c>
      <c r="C3">
        <f>ROUND(AVERAGEIF(Данные!$A:$A, A3, Данные!$I:$I), 2)</f>
        <v/>
      </c>
      <c r="D3">
        <f>ROUND(AVERAGEIF(Данные!$A:$A, A3, Данные!$J:$J), 2)</f>
        <v/>
      </c>
      <c r="E3">
        <f>ROUND(AVERAGEIF(Данные!$A:$A, A3, Данные!$K:$K), 2)</f>
        <v/>
      </c>
      <c r="F3">
        <f>ROUND(AVERAGEIF(Данные!$A:$A, A3, Данные!$L:$L), 2)</f>
        <v/>
      </c>
      <c r="G3">
        <f>ROUND(AVERAGEIF(Данные!$A:$A, A3, Данные!$D:$D), 3)</f>
        <v/>
      </c>
      <c r="H3">
        <f>ROUND(AVERAGEIF(Данные!$A:$A, A3, Данные!$G:$G), 1)</f>
        <v/>
      </c>
      <c r="I3">
        <f>COUNTIFS(Данные!$A:$A, A3, Данные!$F:$F, "&lt;&gt;")</f>
        <v/>
      </c>
    </row>
    <row r="4">
      <c r="A4" t="inlineStr">
        <is>
          <t>Qwen2.5-14B-Instruct-GGUF</t>
        </is>
      </c>
      <c r="B4">
        <f>ROUND(AVERAGEIF(Данные!$A:$A, A4, Данные!$M:$M), 2)</f>
        <v/>
      </c>
      <c r="C4">
        <f>ROUND(AVERAGEIF(Данные!$A:$A, A4, Данные!$I:$I), 2)</f>
        <v/>
      </c>
      <c r="D4">
        <f>ROUND(AVERAGEIF(Данные!$A:$A, A4, Данные!$J:$J), 2)</f>
        <v/>
      </c>
      <c r="E4">
        <f>ROUND(AVERAGEIF(Данные!$A:$A, A4, Данные!$K:$K), 2)</f>
        <v/>
      </c>
      <c r="F4">
        <f>ROUND(AVERAGEIF(Данные!$A:$A, A4, Данные!$L:$L), 2)</f>
        <v/>
      </c>
      <c r="G4">
        <f>ROUND(AVERAGEIF(Данные!$A:$A, A4, Данные!$D:$D), 3)</f>
        <v/>
      </c>
      <c r="H4">
        <f>ROUND(AVERAGEIF(Данные!$A:$A, A4, Данные!$G:$G), 1)</f>
        <v/>
      </c>
      <c r="I4">
        <f>COUNTIFS(Данные!$A:$A, A4, Данные!$F:$F, "&lt;&gt;")</f>
        <v/>
      </c>
    </row>
    <row r="5">
      <c r="A5" t="inlineStr">
        <is>
          <t>gemma-4-12b-it-QAT-GGUF</t>
        </is>
      </c>
      <c r="B5">
        <f>ROUND(AVERAGEIF(Данные!$A:$A, A5, Данные!$M:$M), 2)</f>
        <v/>
      </c>
      <c r="C5">
        <f>ROUND(AVERAGEIF(Данные!$A:$A, A5, Данные!$I:$I), 2)</f>
        <v/>
      </c>
      <c r="D5">
        <f>ROUND(AVERAGEIF(Данные!$A:$A, A5, Данные!$J:$J), 2)</f>
        <v/>
      </c>
      <c r="E5">
        <f>ROUND(AVERAGEIF(Данные!$A:$A, A5, Данные!$K:$K), 2)</f>
        <v/>
      </c>
      <c r="F5">
        <f>ROUND(AVERAGEIF(Данные!$A:$A, A5, Данные!$L:$L), 2)</f>
        <v/>
      </c>
      <c r="G5">
        <f>ROUND(AVERAGEIF(Данные!$A:$A, A5, Данные!$D:$D), 3)</f>
        <v/>
      </c>
      <c r="H5">
        <f>ROUND(AVERAGEIF(Данные!$A:$A, A5, Данные!$G:$G), 1)</f>
        <v/>
      </c>
      <c r="I5">
        <f>COUNTIFS(Данные!$A:$A, A5, Данные!$F:$F, "&lt;&gt;")</f>
        <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2026-10-08T18:24:28Z</dcterms:created>
  <dcterms:modified xsi:type="dcterms:W3CDTF">2026-10-08T18:24:28Z</dcterms:modified>
</cp:coreProperties>
</file>